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atish\d\E\qutation 2020\Format ETP &amp; STP\STP &amp; UF qt\STP &amp; UF\STP 400 cum day\"/>
    </mc:Choice>
  </mc:AlternateContent>
  <bookViews>
    <workbookView xWindow="0" yWindow="0" windowWidth="22260" windowHeight="1264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6" i="1" l="1"/>
  <c r="F27" i="1" l="1"/>
  <c r="F35" i="1" l="1"/>
  <c r="F34" i="1"/>
  <c r="F33" i="1"/>
  <c r="F32" i="1"/>
  <c r="F31" i="1"/>
  <c r="F30" i="1"/>
  <c r="F29" i="1"/>
  <c r="F28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<sst xmlns="http://schemas.openxmlformats.org/spreadsheetml/2006/main" count="60" uniqueCount="56">
  <si>
    <t>Sr. No.</t>
  </si>
  <si>
    <t>Equipments</t>
  </si>
  <si>
    <t xml:space="preserve">Specfication </t>
  </si>
  <si>
    <t xml:space="preserve">Qty </t>
  </si>
  <si>
    <t xml:space="preserve">Unit Rate </t>
  </si>
  <si>
    <t xml:space="preserve">Amount </t>
  </si>
  <si>
    <t>Sewage Transfer Pump</t>
  </si>
  <si>
    <t>Return sludge pump</t>
  </si>
  <si>
    <t xml:space="preserve">Air Blower </t>
  </si>
  <si>
    <t xml:space="preserve">Motor for air blower </t>
  </si>
  <si>
    <t>Filter Feed Pump</t>
  </si>
  <si>
    <t>Alum Dosing Pump</t>
  </si>
  <si>
    <t>Alum Dosing tank</t>
  </si>
  <si>
    <t>Dual Media Filter</t>
  </si>
  <si>
    <t>Activated carbon filter</t>
  </si>
  <si>
    <t>Hypo chlorite pump</t>
  </si>
  <si>
    <t>Hypo chlorite dosing tank</t>
  </si>
  <si>
    <t xml:space="preserve">Tube media </t>
  </si>
  <si>
    <t>MBBR</t>
  </si>
  <si>
    <t xml:space="preserve">Inter connecting piping </t>
  </si>
  <si>
    <t xml:space="preserve">Filter press </t>
  </si>
  <si>
    <t xml:space="preserve">Diiffuser membrane </t>
  </si>
  <si>
    <t xml:space="preserve">cabling </t>
  </si>
  <si>
    <t>MS pipe line</t>
  </si>
  <si>
    <t xml:space="preserve">water meter </t>
  </si>
  <si>
    <t>UF system</t>
  </si>
  <si>
    <t xml:space="preserve">MCC PANEL </t>
  </si>
  <si>
    <t xml:space="preserve">PLC based </t>
  </si>
  <si>
    <t xml:space="preserve">UPVC </t>
  </si>
  <si>
    <t>90 mm dia x 1000 mm</t>
  </si>
  <si>
    <t xml:space="preserve">0.75 m ht </t>
  </si>
  <si>
    <t xml:space="preserve">Sand media </t>
  </si>
  <si>
    <t>Activated carbon 900 iodine</t>
  </si>
  <si>
    <t>Erection Piping work</t>
  </si>
  <si>
    <t>UPVC &amp; MS</t>
  </si>
  <si>
    <t xml:space="preserve">Cabiling </t>
  </si>
  <si>
    <t>Cable</t>
  </si>
  <si>
    <t xml:space="preserve">Commissioning </t>
  </si>
  <si>
    <t>Bar Screen</t>
  </si>
  <si>
    <t>as per the tank MS epoxy</t>
  </si>
  <si>
    <t xml:space="preserve">Air Grid </t>
  </si>
  <si>
    <t>CT, FT &amp; SHT</t>
  </si>
  <si>
    <t>Sludge Pump set</t>
  </si>
  <si>
    <t>0-12 lph</t>
  </si>
  <si>
    <t>100 ltr</t>
  </si>
  <si>
    <t xml:space="preserve">100 ltr </t>
  </si>
  <si>
    <t xml:space="preserve">3" dia mech </t>
  </si>
  <si>
    <t xml:space="preserve">Estimate for STP &amp; UF system for 400 cum/ day </t>
  </si>
  <si>
    <t xml:space="preserve">18.2 cum/hr @ 12 m h </t>
  </si>
  <si>
    <t>500 cum/hr @ 0.45 kg/cm2</t>
  </si>
  <si>
    <t xml:space="preserve">20 hp/1500 rpm </t>
  </si>
  <si>
    <t xml:space="preserve">18.2 cum/hr @ 35 m h </t>
  </si>
  <si>
    <t>1.4 m dia x 1.85 m hos</t>
  </si>
  <si>
    <t xml:space="preserve">24" x 24" - 26 Nos Motorised  </t>
  </si>
  <si>
    <t xml:space="preserve">1) Pebbles 1-3/4" : 1400 kg  2) Pebbles 1/2-3/4 : 1400 kg                                      3) Pebbles 1/2-1/4" : 500 kg    4) Core Silex : 500 kg          5) Fine Sand : 250 kg </t>
  </si>
  <si>
    <t>650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</si>
</sst>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3"/>
      <color theme="1"/>
      <name val="Book Antiqua"/>
      <family val="1"/>
    </font>
    <font>
      <b/>
      <sz val="14"/>
      <color theme="1"/>
      <name val="Book Antiqua"/>
      <family val="1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wrapText="1"/>
    </xf>
    <xf numFmtId="0" fontId="2" fillId="0" borderId="1" xfId="0" applyFont="1" applyBorder="1"/>
    <xf numFmtId="0" fontId="1" fillId="0" borderId="1" xfId="0" applyFont="1" applyFill="1" applyBorder="1"/>
    <xf numFmtId="4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wrapText="1"/>
    </xf>
    <xf numFmtId="43" fontId="1" fillId="0" borderId="1" xfId="1" applyFont="1" applyBorder="1" applyAlignment="1">
      <alignment horizontal="right"/>
    </xf>
    <xf numFmtId="43" fontId="1" fillId="0" borderId="1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7"/>
  <sheetViews>
    <sheetView tabSelected="1" topLeftCell="A19" workbookViewId="0">
      <selection activeCell="I27" sqref="I27"/>
    </sheetView>
  </sheetViews>
  <sheetFormatPr defaultRowHeight="14.4" x14ac:dyDescent="0.3"/>
  <cols>
    <col min="2" max="2" width="32.44140625" customWidth="1"/>
    <col min="3" max="3" width="31.44140625" customWidth="1"/>
    <col min="4" max="4" width="10" customWidth="1"/>
    <col min="5" max="5" width="16.5546875" customWidth="1"/>
    <col min="6" max="6" width="19.109375" customWidth="1"/>
  </cols>
  <sheetData>
    <row r="2" spans="1:6" ht="34.799999999999997" x14ac:dyDescent="0.35">
      <c r="C2" s="2" t="s">
        <v>47</v>
      </c>
      <c r="D2" s="2"/>
      <c r="E2" s="2"/>
    </row>
    <row r="6" spans="1:6" ht="18" x14ac:dyDescent="0.35">
      <c r="A6" s="6" t="s">
        <v>0</v>
      </c>
      <c r="B6" s="6" t="s">
        <v>1</v>
      </c>
      <c r="C6" s="6" t="s">
        <v>2</v>
      </c>
      <c r="D6" s="6" t="s">
        <v>3</v>
      </c>
      <c r="E6" s="6" t="s">
        <v>4</v>
      </c>
      <c r="F6" s="6" t="s">
        <v>5</v>
      </c>
    </row>
    <row r="7" spans="1:6" ht="17.399999999999999" x14ac:dyDescent="0.35">
      <c r="A7" s="3">
        <v>1</v>
      </c>
      <c r="B7" s="3" t="s">
        <v>6</v>
      </c>
      <c r="C7" s="3" t="s">
        <v>48</v>
      </c>
      <c r="D7" s="3">
        <v>2</v>
      </c>
      <c r="E7" s="8">
        <v>17700</v>
      </c>
      <c r="F7" s="11">
        <f t="shared" ref="F7:F36" si="0">E7*D7</f>
        <v>35400</v>
      </c>
    </row>
    <row r="8" spans="1:6" ht="17.399999999999999" x14ac:dyDescent="0.35">
      <c r="A8" s="3">
        <v>2</v>
      </c>
      <c r="B8" s="3" t="s">
        <v>7</v>
      </c>
      <c r="C8" s="3" t="s">
        <v>48</v>
      </c>
      <c r="D8" s="3">
        <v>2</v>
      </c>
      <c r="E8" s="8">
        <v>17700</v>
      </c>
      <c r="F8" s="11">
        <f t="shared" si="0"/>
        <v>35400</v>
      </c>
    </row>
    <row r="9" spans="1:6" ht="17.399999999999999" x14ac:dyDescent="0.35">
      <c r="A9" s="3">
        <v>3</v>
      </c>
      <c r="B9" s="3" t="s">
        <v>8</v>
      </c>
      <c r="C9" s="3" t="s">
        <v>49</v>
      </c>
      <c r="D9" s="3">
        <v>2</v>
      </c>
      <c r="E9" s="8">
        <v>115000</v>
      </c>
      <c r="F9" s="11">
        <f t="shared" si="0"/>
        <v>230000</v>
      </c>
    </row>
    <row r="10" spans="1:6" ht="17.399999999999999" x14ac:dyDescent="0.35">
      <c r="A10" s="3">
        <v>4</v>
      </c>
      <c r="B10" s="3" t="s">
        <v>9</v>
      </c>
      <c r="C10" s="3" t="s">
        <v>50</v>
      </c>
      <c r="D10" s="3">
        <v>2</v>
      </c>
      <c r="E10" s="8">
        <v>35500</v>
      </c>
      <c r="F10" s="11">
        <f t="shared" si="0"/>
        <v>71000</v>
      </c>
    </row>
    <row r="11" spans="1:6" ht="17.399999999999999" x14ac:dyDescent="0.35">
      <c r="A11" s="3">
        <v>5</v>
      </c>
      <c r="B11" s="3" t="s">
        <v>10</v>
      </c>
      <c r="C11" s="3" t="s">
        <v>51</v>
      </c>
      <c r="D11" s="3">
        <v>2</v>
      </c>
      <c r="E11" s="8">
        <v>18900</v>
      </c>
      <c r="F11" s="11">
        <f t="shared" si="0"/>
        <v>37800</v>
      </c>
    </row>
    <row r="12" spans="1:6" ht="17.399999999999999" x14ac:dyDescent="0.35">
      <c r="A12" s="3">
        <v>6</v>
      </c>
      <c r="B12" s="3" t="s">
        <v>11</v>
      </c>
      <c r="C12" s="3" t="s">
        <v>43</v>
      </c>
      <c r="D12" s="3">
        <v>1</v>
      </c>
      <c r="E12" s="8">
        <v>5600</v>
      </c>
      <c r="F12" s="11">
        <f t="shared" si="0"/>
        <v>5600</v>
      </c>
    </row>
    <row r="13" spans="1:6" ht="17.399999999999999" x14ac:dyDescent="0.35">
      <c r="A13" s="3">
        <v>7</v>
      </c>
      <c r="B13" s="3" t="s">
        <v>12</v>
      </c>
      <c r="C13" s="3" t="s">
        <v>44</v>
      </c>
      <c r="D13" s="3">
        <v>1</v>
      </c>
      <c r="E13" s="8">
        <v>1500</v>
      </c>
      <c r="F13" s="11">
        <f t="shared" si="0"/>
        <v>1500</v>
      </c>
    </row>
    <row r="14" spans="1:6" ht="17.399999999999999" x14ac:dyDescent="0.35">
      <c r="A14" s="3">
        <v>8</v>
      </c>
      <c r="B14" s="3" t="s">
        <v>13</v>
      </c>
      <c r="C14" s="3" t="s">
        <v>52</v>
      </c>
      <c r="D14" s="3">
        <v>1</v>
      </c>
      <c r="E14" s="8">
        <v>155000</v>
      </c>
      <c r="F14" s="11">
        <f t="shared" si="0"/>
        <v>155000</v>
      </c>
    </row>
    <row r="15" spans="1:6" ht="17.399999999999999" x14ac:dyDescent="0.35">
      <c r="A15" s="3">
        <v>9</v>
      </c>
      <c r="B15" s="3" t="s">
        <v>14</v>
      </c>
      <c r="C15" s="3" t="s">
        <v>52</v>
      </c>
      <c r="D15" s="3">
        <v>1</v>
      </c>
      <c r="E15" s="8">
        <v>155000</v>
      </c>
      <c r="F15" s="11">
        <f t="shared" si="0"/>
        <v>155000</v>
      </c>
    </row>
    <row r="16" spans="1:6" ht="17.399999999999999" x14ac:dyDescent="0.35">
      <c r="A16" s="3">
        <v>10</v>
      </c>
      <c r="B16" s="3" t="s">
        <v>15</v>
      </c>
      <c r="C16" s="3" t="s">
        <v>43</v>
      </c>
      <c r="D16" s="3">
        <v>1</v>
      </c>
      <c r="E16" s="8">
        <v>5600</v>
      </c>
      <c r="F16" s="11">
        <f t="shared" si="0"/>
        <v>5600</v>
      </c>
    </row>
    <row r="17" spans="1:13" ht="17.399999999999999" x14ac:dyDescent="0.35">
      <c r="A17" s="3">
        <v>11</v>
      </c>
      <c r="B17" s="3" t="s">
        <v>16</v>
      </c>
      <c r="C17" s="3" t="s">
        <v>45</v>
      </c>
      <c r="D17" s="3">
        <v>1</v>
      </c>
      <c r="E17" s="8">
        <v>1500</v>
      </c>
      <c r="F17" s="11">
        <f t="shared" si="0"/>
        <v>1500</v>
      </c>
    </row>
    <row r="18" spans="1:13" ht="17.399999999999999" x14ac:dyDescent="0.35">
      <c r="A18" s="3">
        <v>12</v>
      </c>
      <c r="B18" s="3" t="s">
        <v>17</v>
      </c>
      <c r="C18" s="3" t="s">
        <v>30</v>
      </c>
      <c r="D18" s="3">
        <v>13.5</v>
      </c>
      <c r="E18" s="8">
        <v>8500</v>
      </c>
      <c r="F18" s="11">
        <f t="shared" si="0"/>
        <v>114750</v>
      </c>
    </row>
    <row r="19" spans="1:13" ht="17.399999999999999" x14ac:dyDescent="0.35">
      <c r="A19" s="3">
        <v>13</v>
      </c>
      <c r="B19" s="3" t="s">
        <v>18</v>
      </c>
      <c r="C19" s="3"/>
      <c r="D19" s="3">
        <v>24</v>
      </c>
      <c r="E19" s="8">
        <v>11500</v>
      </c>
      <c r="F19" s="11">
        <f t="shared" si="0"/>
        <v>276000</v>
      </c>
    </row>
    <row r="20" spans="1:13" ht="17.399999999999999" x14ac:dyDescent="0.35">
      <c r="A20" s="3">
        <v>14</v>
      </c>
      <c r="B20" s="3" t="s">
        <v>26</v>
      </c>
      <c r="C20" s="3" t="s">
        <v>27</v>
      </c>
      <c r="D20" s="3">
        <v>1</v>
      </c>
      <c r="E20" s="8">
        <v>143000</v>
      </c>
      <c r="F20" s="11">
        <f t="shared" si="0"/>
        <v>143000</v>
      </c>
    </row>
    <row r="21" spans="1:13" ht="17.399999999999999" x14ac:dyDescent="0.35">
      <c r="A21" s="3">
        <v>15</v>
      </c>
      <c r="B21" s="3" t="s">
        <v>19</v>
      </c>
      <c r="C21" s="3" t="s">
        <v>28</v>
      </c>
      <c r="D21" s="3">
        <v>1</v>
      </c>
      <c r="E21" s="8">
        <v>95000</v>
      </c>
      <c r="F21" s="11">
        <f t="shared" si="0"/>
        <v>95000</v>
      </c>
    </row>
    <row r="22" spans="1:13" ht="34.799999999999997" x14ac:dyDescent="0.35">
      <c r="A22" s="3">
        <v>16</v>
      </c>
      <c r="B22" s="3" t="s">
        <v>20</v>
      </c>
      <c r="C22" s="5" t="s">
        <v>53</v>
      </c>
      <c r="D22" s="3">
        <v>1</v>
      </c>
      <c r="E22" s="8">
        <v>205000</v>
      </c>
      <c r="F22" s="11">
        <f t="shared" si="0"/>
        <v>205000</v>
      </c>
    </row>
    <row r="23" spans="1:13" ht="17.399999999999999" x14ac:dyDescent="0.35">
      <c r="A23" s="3">
        <v>17</v>
      </c>
      <c r="B23" s="3" t="s">
        <v>21</v>
      </c>
      <c r="C23" s="3" t="s">
        <v>29</v>
      </c>
      <c r="D23" s="3">
        <v>30</v>
      </c>
      <c r="E23" s="8">
        <v>3500</v>
      </c>
      <c r="F23" s="11">
        <f t="shared" si="0"/>
        <v>105000</v>
      </c>
    </row>
    <row r="24" spans="1:13" ht="17.399999999999999" x14ac:dyDescent="0.35">
      <c r="A24" s="3">
        <v>18</v>
      </c>
      <c r="B24" s="3" t="s">
        <v>22</v>
      </c>
      <c r="C24" s="3"/>
      <c r="D24" s="3">
        <v>1</v>
      </c>
      <c r="E24" s="8">
        <v>45000</v>
      </c>
      <c r="F24" s="11">
        <f t="shared" si="0"/>
        <v>45000</v>
      </c>
    </row>
    <row r="25" spans="1:13" ht="17.399999999999999" x14ac:dyDescent="0.35">
      <c r="A25" s="3">
        <v>19</v>
      </c>
      <c r="B25" s="3" t="s">
        <v>23</v>
      </c>
      <c r="C25" s="3"/>
      <c r="D25" s="3">
        <v>1</v>
      </c>
      <c r="E25" s="8">
        <v>75000</v>
      </c>
      <c r="F25" s="11">
        <f t="shared" si="0"/>
        <v>75000</v>
      </c>
    </row>
    <row r="26" spans="1:13" ht="17.399999999999999" x14ac:dyDescent="0.35">
      <c r="A26" s="3">
        <v>20</v>
      </c>
      <c r="B26" s="3" t="s">
        <v>24</v>
      </c>
      <c r="C26" s="3" t="s">
        <v>46</v>
      </c>
      <c r="D26" s="3">
        <v>1</v>
      </c>
      <c r="E26" s="8">
        <v>15500</v>
      </c>
      <c r="F26" s="11">
        <f t="shared" si="0"/>
        <v>15500</v>
      </c>
    </row>
    <row r="27" spans="1:13" ht="17.399999999999999" x14ac:dyDescent="0.35">
      <c r="A27" s="3">
        <v>21</v>
      </c>
      <c r="B27" s="3" t="s">
        <v>25</v>
      </c>
      <c r="C27" s="3"/>
      <c r="D27" s="3">
        <v>1</v>
      </c>
      <c r="E27" s="8">
        <v>1390000</v>
      </c>
      <c r="F27" s="11">
        <f t="shared" si="0"/>
        <v>1390000</v>
      </c>
    </row>
    <row r="28" spans="1:13" ht="90" customHeight="1" x14ac:dyDescent="0.35">
      <c r="A28" s="3">
        <v>22</v>
      </c>
      <c r="B28" s="3" t="s">
        <v>31</v>
      </c>
      <c r="C28" s="5" t="s">
        <v>54</v>
      </c>
      <c r="D28" s="5">
        <v>4050</v>
      </c>
      <c r="E28" s="10">
        <v>5.75</v>
      </c>
      <c r="F28" s="11">
        <f t="shared" si="0"/>
        <v>23287.5</v>
      </c>
      <c r="G28" s="1"/>
      <c r="H28" s="1"/>
      <c r="I28" s="1"/>
      <c r="J28" s="1"/>
      <c r="K28" s="1"/>
      <c r="L28" s="1"/>
      <c r="M28" s="1"/>
    </row>
    <row r="29" spans="1:13" ht="17.399999999999999" x14ac:dyDescent="0.35">
      <c r="A29" s="3">
        <v>23</v>
      </c>
      <c r="B29" s="3" t="s">
        <v>32</v>
      </c>
      <c r="C29" s="3" t="s">
        <v>55</v>
      </c>
      <c r="D29" s="3">
        <v>650</v>
      </c>
      <c r="E29" s="9">
        <v>68</v>
      </c>
      <c r="F29" s="11">
        <f t="shared" si="0"/>
        <v>44200</v>
      </c>
    </row>
    <row r="30" spans="1:13" ht="17.399999999999999" x14ac:dyDescent="0.35">
      <c r="A30" s="3">
        <v>24</v>
      </c>
      <c r="B30" s="3" t="s">
        <v>38</v>
      </c>
      <c r="C30" s="3" t="s">
        <v>39</v>
      </c>
      <c r="D30" s="3">
        <v>1</v>
      </c>
      <c r="E30" s="8">
        <v>8500</v>
      </c>
      <c r="F30" s="11">
        <f t="shared" si="0"/>
        <v>8500</v>
      </c>
    </row>
    <row r="31" spans="1:13" ht="17.399999999999999" x14ac:dyDescent="0.35">
      <c r="A31" s="3">
        <v>25</v>
      </c>
      <c r="B31" s="3" t="s">
        <v>40</v>
      </c>
      <c r="C31" s="3" t="s">
        <v>41</v>
      </c>
      <c r="D31" s="3">
        <v>3</v>
      </c>
      <c r="E31" s="8">
        <v>9200</v>
      </c>
      <c r="F31" s="11">
        <f t="shared" si="0"/>
        <v>27600</v>
      </c>
    </row>
    <row r="32" spans="1:13" ht="17.399999999999999" x14ac:dyDescent="0.35">
      <c r="A32" s="3">
        <v>26</v>
      </c>
      <c r="B32" s="3" t="s">
        <v>42</v>
      </c>
      <c r="C32" s="3" t="s">
        <v>48</v>
      </c>
      <c r="D32" s="3">
        <v>2</v>
      </c>
      <c r="E32" s="8">
        <v>17700</v>
      </c>
      <c r="F32" s="11">
        <f t="shared" si="0"/>
        <v>35400</v>
      </c>
    </row>
    <row r="33" spans="1:6" ht="17.399999999999999" x14ac:dyDescent="0.35">
      <c r="A33" s="3">
        <v>27</v>
      </c>
      <c r="B33" s="3" t="s">
        <v>33</v>
      </c>
      <c r="C33" s="3" t="s">
        <v>34</v>
      </c>
      <c r="D33" s="3">
        <v>1</v>
      </c>
      <c r="E33" s="8">
        <v>35000</v>
      </c>
      <c r="F33" s="11">
        <f t="shared" si="0"/>
        <v>35000</v>
      </c>
    </row>
    <row r="34" spans="1:6" ht="17.399999999999999" x14ac:dyDescent="0.35">
      <c r="A34" s="7">
        <v>28</v>
      </c>
      <c r="B34" s="7" t="s">
        <v>35</v>
      </c>
      <c r="C34" s="7" t="s">
        <v>36</v>
      </c>
      <c r="D34" s="7">
        <v>1</v>
      </c>
      <c r="E34" s="8">
        <v>20000</v>
      </c>
      <c r="F34" s="11">
        <f t="shared" si="0"/>
        <v>20000</v>
      </c>
    </row>
    <row r="35" spans="1:6" ht="17.399999999999999" x14ac:dyDescent="0.35">
      <c r="A35" s="7">
        <v>29</v>
      </c>
      <c r="B35" s="7" t="s">
        <v>37</v>
      </c>
      <c r="C35" s="4"/>
      <c r="D35" s="7">
        <v>1</v>
      </c>
      <c r="E35" s="8">
        <v>48000</v>
      </c>
      <c r="F35" s="11">
        <f t="shared" si="0"/>
        <v>48000</v>
      </c>
    </row>
    <row r="36" spans="1:6" ht="17.399999999999999" x14ac:dyDescent="0.35">
      <c r="A36" s="4"/>
      <c r="B36" s="4"/>
      <c r="C36" s="4"/>
      <c r="D36" s="4"/>
      <c r="E36" s="4"/>
      <c r="F36" s="12">
        <f>SUM(F7:F35)</f>
        <v>3440037.5</v>
      </c>
    </row>
    <row r="37" spans="1:6" x14ac:dyDescent="0.3">
      <c r="A37" s="4"/>
      <c r="B37" s="4"/>
      <c r="C37" s="4"/>
      <c r="D37" s="4"/>
      <c r="E37" s="4"/>
      <c r="F37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Satish</cp:lastModifiedBy>
  <dcterms:created xsi:type="dcterms:W3CDTF">2015-06-05T18:17:20Z</dcterms:created>
  <dcterms:modified xsi:type="dcterms:W3CDTF">2020-04-23T07:57:34Z</dcterms:modified>
</cp:coreProperties>
</file>